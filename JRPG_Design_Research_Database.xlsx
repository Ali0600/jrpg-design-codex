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ames" sheetId="2" state="visible" r:id="rId4"/>
    <sheet name="Mechanics" sheetId="3" state="visible" r:id="rId5"/>
    <sheet name="Design Pillars" sheetId="4" state="visible" r:id="rId6"/>
    <sheet name="Summary" sheetId="5" state="visible" r:id="rId7"/>
  </sheets>
  <definedNames>
    <definedName function="false" hidden="true" localSheetId="1" name="_xlnm._FilterDatabase" vbProcedure="false">Games!$A$1:$G$10</definedName>
    <definedName function="false" hidden="true" localSheetId="2" name="_xlnm._FilterDatabase" vbProcedure="false">Mechanics!$A$1:$I$32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<sst xmlns="http://schemas.openxmlformats.org/spreadsheetml/2006/main" count="362" uniqueCount="273">
  <si>
    <t xml:space="preserve">JRPG Design Research Database</t>
  </si>
  <si>
    <t xml:space="preserve">Your core design pillar: A world that rewards exploration — everything has upgrades.</t>
  </si>
  <si>
    <t xml:space="preserve">HOW TO USE THIS WORKBOOK</t>
  </si>
  <si>
    <t xml:space="preserve">1. Games sheet</t>
  </si>
  <si>
    <t xml:space="preserve">Your research roster. Add every game you want to study. Track status and why it matters to your design.</t>
  </si>
  <si>
    <t xml:space="preserve">2. Mechanics sheet</t>
  </si>
  <si>
    <t xml:space="preserve">The core database. One row per mechanic. When you play/research a game, log each mechanic you find, rate it 1-5, decide Yes/Maybe/No on adopting it, and write how YOU would adapt it.</t>
  </si>
  <si>
    <t xml:space="preserve">3. Design Pillars sheet</t>
  </si>
  <si>
    <t xml:space="preserve">Your north star. Every mechanic should be checked against these. Edit freely as your vision sharpens.</t>
  </si>
  <si>
    <t xml:space="preserve">4. Summary sheet</t>
  </si>
  <si>
    <t xml:space="preserve">Auto-counts what you have logged and what you have committed to building.</t>
  </si>
  <si>
    <t xml:space="preserve">WORKFLOW FOR EACH NEW GAME</t>
  </si>
  <si>
    <t xml:space="preserve">Step 1</t>
  </si>
  <si>
    <t xml:space="preserve">Add the game to the Games sheet with Status = To Research.</t>
  </si>
  <si>
    <t xml:space="preserve">Step 2</t>
  </si>
  <si>
    <t xml:space="preserve">Play it (or watch/read deep dives) with the Mechanics sheet open. Log mechanics as you notice them.</t>
  </si>
  <si>
    <t xml:space="preserve">Step 3</t>
  </si>
  <si>
    <t xml:space="preserve">For every mechanic, always fill "Reward Loop" — what does the player DO, what do they GET, and why does it feel good? This is the column that matters most for your exploration-reward pillar.</t>
  </si>
  <si>
    <t xml:space="preserve">Step 4</t>
  </si>
  <si>
    <t xml:space="preserve">Rate it and mark "Want in My Game?". For Yes/Maybe, write Adaptation Notes: how the idea translates to YOUR game, stripped of the source game specifics.</t>
  </si>
  <si>
    <t xml:space="preserve">Step 5</t>
  </si>
  <si>
    <t xml:space="preserve">Set the game Status to Researched. Periodically re-read all "Yes" rows together — that cluster IS your game design document seed.</t>
  </si>
  <si>
    <t xml:space="preserve">CATEGORY DEFINITIONS</t>
  </si>
  <si>
    <t xml:space="preserve">Exploration &amp; Rewards</t>
  </si>
  <si>
    <t xml:space="preserve">Anything about discovering the world and being paid for it (your pillar — e.g., Elden Ring paintings, FF7R lifesprings).</t>
  </si>
  <si>
    <t xml:space="preserve">Progression &amp; Upgrades</t>
  </si>
  <si>
    <t xml:space="preserve">Character/gear growth systems (e.g., Materia, weapon levels, folios).</t>
  </si>
  <si>
    <t xml:space="preserve">Combat</t>
  </si>
  <si>
    <t xml:space="preserve">Battle systems and moment-to-moment fight mechanics.</t>
  </si>
  <si>
    <t xml:space="preserve">Economy &amp; Currency</t>
  </si>
  <si>
    <t xml:space="preserve">Currencies, shops, crafting, and what they gate.</t>
  </si>
  <si>
    <t xml:space="preserve">Traversal</t>
  </si>
  <si>
    <t xml:space="preserve">How the player moves; mounts, abilities that open up the map.</t>
  </si>
  <si>
    <t xml:space="preserve">Side Content &amp; Minigames</t>
  </si>
  <si>
    <t xml:space="preserve">Optional activities and their reward hooks.</t>
  </si>
  <si>
    <t xml:space="preserve">Social &amp; Relationships</t>
  </si>
  <si>
    <t xml:space="preserve">Bond/affinity systems between characters.</t>
  </si>
  <si>
    <t xml:space="preserve">Meta &amp; Replayability</t>
  </si>
  <si>
    <t xml:space="preserve">NG+, hard modes, chapter select, completion systems.</t>
  </si>
  <si>
    <t xml:space="preserve">Game</t>
  </si>
  <si>
    <t xml:space="preserve">Year</t>
  </si>
  <si>
    <t xml:space="preserve">Developer</t>
  </si>
  <si>
    <t xml:space="preserve">Genre / Style</t>
  </si>
  <si>
    <t xml:space="preserve">Status</t>
  </si>
  <si>
    <t xml:space="preserve">Priority</t>
  </si>
  <si>
    <t xml:space="preserve">Why Research It (what it can teach you)</t>
  </si>
  <si>
    <t xml:space="preserve">Final Fantasy VII Rebirth</t>
  </si>
  <si>
    <t xml:space="preserve">Square Enix</t>
  </si>
  <si>
    <t xml:space="preserve">Action JRPG, semi-open world</t>
  </si>
  <si>
    <t xml:space="preserve">Researched</t>
  </si>
  <si>
    <t xml:space="preserve">High</t>
  </si>
  <si>
    <t xml:space="preserve">Layered upgrade systems (Materia, weapon levels, folios) + World Intel exploration-reward structure. Your reference model for "everything has upgrades".</t>
  </si>
  <si>
    <t xml:space="preserve">Elden Ring</t>
  </si>
  <si>
    <t xml:space="preserve">FromSoftware</t>
  </si>
  <si>
    <t xml:space="preserve">Action RPG, open world</t>
  </si>
  <si>
    <t xml:space="preserve">Researching</t>
  </si>
  <si>
    <t xml:space="preserve">Gold standard for curiosity-driven exploration: paintings, hidden walls, every landmark pays off. No checklist — the world itself is the quest log.</t>
  </si>
  <si>
    <t xml:space="preserve">Final Fantasy X</t>
  </si>
  <si>
    <t xml:space="preserve">Square</t>
  </si>
  <si>
    <t xml:space="preserve">Turn-based JRPG</t>
  </si>
  <si>
    <t xml:space="preserve">To Research</t>
  </si>
  <si>
    <t xml:space="preserve">Medium</t>
  </si>
  <si>
    <t xml:space="preserve">Sphere Grid: iconic node-based progression that makes every battle feed a visible upgrade path.</t>
  </si>
  <si>
    <t xml:space="preserve">Persona 5 Royal</t>
  </si>
  <si>
    <t xml:space="preserve">Atlus</t>
  </si>
  <si>
    <t xml:space="preserve">Turn-based JRPG, social sim</t>
  </si>
  <si>
    <t xml:space="preserve">Confidant system: relationships ARE upgrades. Calendar structure makes all activities feel rewarding.</t>
  </si>
  <si>
    <t xml:space="preserve">Xenoblade Chronicles 3</t>
  </si>
  <si>
    <t xml:space="preserve">Monolith Soft</t>
  </si>
  <si>
    <t xml:space="preserve">Action JRPG, open zones</t>
  </si>
  <si>
    <t xml:space="preserve">Massive explorable zones where discovering landmarks/areas grants EXP directly — exploring literally levels you up.</t>
  </si>
  <si>
    <t xml:space="preserve">Dragon Quest XI</t>
  </si>
  <si>
    <t xml:space="preserve">Low</t>
  </si>
  <si>
    <t xml:space="preserve">Classic JRPG reward pacing; forge/crafting minigame; recipe books found by exploring.</t>
  </si>
  <si>
    <t xml:space="preserve">The Legend of Zelda: Tears of the Kingdom</t>
  </si>
  <si>
    <t xml:space="preserve">Nintendo</t>
  </si>
  <si>
    <t xml:space="preserve">Action-adventure, open world</t>
  </si>
  <si>
    <t xml:space="preserve">Shrines/Korok seeds: micro-rewards that make every corner of the map worth checking; rewards convert into upgrades (hearts/stamina/inventory).</t>
  </si>
  <si>
    <t xml:space="preserve">Chained Echoes</t>
  </si>
  <si>
    <t xml:space="preserve">Matthias Linda</t>
  </si>
  <si>
    <t xml:space="preserve">Indie 16-bit style JRPG</t>
  </si>
  <si>
    <t xml:space="preserve">Solo-dev JRPG (relevant to your scope!). Reward Board system: exploration and quest achievements directly unlock gear/upgrades.</t>
  </si>
  <si>
    <t xml:space="preserve">Sea of Stars</t>
  </si>
  <si>
    <t xml:space="preserve">Sabotage Studio</t>
  </si>
  <si>
    <t xml:space="preserve">Indie turn-based JRPG</t>
  </si>
  <si>
    <t xml:space="preserve">Small-team JRPG benchmark: relic system, cooking, and exploration secrets. Good scope reference for an indie JRPG.</t>
  </si>
  <si>
    <t xml:space="preserve">ID</t>
  </si>
  <si>
    <t xml:space="preserve">Mechanic</t>
  </si>
  <si>
    <t xml:space="preserve">Category</t>
  </si>
  <si>
    <t xml:space="preserve">How It Works</t>
  </si>
  <si>
    <t xml:space="preserve">Reward Loop (do X -&gt; get Y -&gt; feels good because Z)</t>
  </si>
  <si>
    <t xml:space="preserve">Rating (1-5)</t>
  </si>
  <si>
    <t xml:space="preserve">Want in My Game?</t>
  </si>
  <si>
    <t xml:space="preserve">Adaptation Notes (how it fits YOUR game)</t>
  </si>
  <si>
    <t xml:space="preserve">M001</t>
  </si>
  <si>
    <t xml:space="preserve">Materia System</t>
  </si>
  <si>
    <t xml:space="preserve">Orbs slotted into weapons/armor grant spells, abilities, and passives. Materia earns AP from battles and levels up (stronger spells, new effects). Linked slots let two materia combine (e.g., Fire + Elemental = fire-infused sword).</t>
  </si>
  <si>
    <t xml:space="preserve">Fight -&gt; materia gains AP -&gt; spell tiers unlock -&gt; your loadout is a build you authored. Slots are scarce, so every choice is meaningful; linked slots reward experimentation.</t>
  </si>
  <si>
    <t xml:space="preserve">Yes</t>
  </si>
  <si>
    <t xml:space="preserve">You flagged this as a favorite. Core idea to steal: upgrades are SOCKETED and TRANSFERABLE, not welded to one item — the player owns a growing library of upgrades and expresses themselves through slotting.</t>
  </si>
  <si>
    <t xml:space="preserve">M002</t>
  </si>
  <si>
    <t xml:space="preserve">Weapon Levels + Weapon Skills</t>
  </si>
  <si>
    <t xml:space="preserve">Every weapon a character owns levels up together as the character earns SP (total SP earned = weapon level). Each level auto-grants stat boosts, new equippable Weapon Skill perks, and sometimes extra materia slots. Skill slots are limited, so you pick a subset.</t>
  </si>
  <si>
    <t xml:space="preserve">Earn SP anywhere -&gt; ALL weapons improve -&gt; old weapons never become trash; new skill slots create fresh decisions each level.</t>
  </si>
  <si>
    <t xml:space="preserve">You flagged this as a favorite. Key insight: no dead weapons. Every weapon stays viable and keeps gaining perks, so finding a new one is about its unique ability, not raw numbers.</t>
  </si>
  <si>
    <t xml:space="preserve">M003</t>
  </si>
  <si>
    <t xml:space="preserve">Weapon Abilities + Proficiency</t>
  </si>
  <si>
    <t xml:space="preserve">Each weapon has a signature ability. Using it and completing its proficiency objective teaches the ability PERMANENTLY, even after unequipping.</t>
  </si>
  <si>
    <t xml:space="preserve">Find weapon -&gt; use its move enough -&gt; keep the move forever -&gt; every weapon pickup is a guaranteed permanent upgrade, not just a stat stick.</t>
  </si>
  <si>
    <t xml:space="preserve">Maybe</t>
  </si>
  <si>
    <t xml:space="preserve">Very compatible with your pillar: exploration finds weapons, weapons teach permanent moves. Consider making proficiency objectives mini skill-challenges.</t>
  </si>
  <si>
    <t xml:space="preserve">M004</t>
  </si>
  <si>
    <t xml:space="preserve">Folios (Skill Trees)</t>
  </si>
  <si>
    <t xml:space="preserve">Node-based skill boards per character. Spend SP on nodes for stat boosts, new abilities, synergy moves, and Lv3 limit breaks. Node waves unlock via Party Level; some nodes gated by Weapon Level. Respec is free. Must visit bookstores/automats in the world to edit.</t>
  </si>
  <si>
    <t xml:space="preserve">Every activity feeds SP/Party Level -&gt; visible new nodes light up -&gt; constant "one more unlock" pull. Free respec removes fear of mistakes.</t>
  </si>
  <si>
    <t xml:space="preserve">Note the friction choice: editing folios requires visiting a physical location in the world — even menu actions pull you into exploring towns.</t>
  </si>
  <si>
    <t xml:space="preserve">M005</t>
  </si>
  <si>
    <t xml:space="preserve">SP as a triple-duty resource</t>
  </si>
  <si>
    <t xml:space="preserve">One resource (SP) drives three systems: total earned sets Weapon Level, spendable pool buys Folio nodes, and combined party SP sets Party Level.</t>
  </si>
  <si>
    <t xml:space="preserve">Any SP source (level up, manuscripts, quests) visibly moves THREE progress bars at once -&gt; everything you do feels multiplicatively rewarding.</t>
  </si>
  <si>
    <t xml:space="preserve">Elegant trick for "everything has upgrades": make one currency ripple through multiple systems so every reward hits 2-3 progress meters.</t>
  </si>
  <si>
    <t xml:space="preserve">M006</t>
  </si>
  <si>
    <t xml:space="preserve">Manuscripts (SP collectibles)</t>
  </si>
  <si>
    <t xml:space="preserve">Collectible books that grant SP to a specific character. Found in side quests, minigame rewards, moogle shops, and hard-mode boss replays.</t>
  </si>
  <si>
    <t xml:space="preserve">Do optional content -&gt; concrete permanent character power -&gt; side content never feels skippable-filler.</t>
  </si>
  <si>
    <t xml:space="preserve">Model for rewarding side content with PROGRESSION currency instead of consumables.</t>
  </si>
  <si>
    <t xml:space="preserve">M007</t>
  </si>
  <si>
    <t xml:space="preserve">Party Level / Party EXP</t>
  </si>
  <si>
    <t xml:space="preserve">A separate account-wide level raised almost exclusively by side content (World Intel, quests). Unlocks waves of folio nodes for EVERY character.</t>
  </si>
  <si>
    <t xml:space="preserve">Explore -&gt; whole party grows (not just active members) -&gt; exploration is never wasted on benched characters.</t>
  </si>
  <si>
    <t xml:space="preserve">Solves the classic JRPG problem of benched party members falling behind.</t>
  </si>
  <si>
    <t xml:space="preserve">M008</t>
  </si>
  <si>
    <t xml:space="preserve">ATB Hybrid Combat</t>
  </si>
  <si>
    <t xml:space="preserve">Real-time action (attack/dodge/block) charges ATB gauges; open the command menu to slow time ("Tactical Mode") and spend ATB on abilities, magic, and items.</t>
  </si>
  <si>
    <t xml:space="preserve">Aggression is the engine: attacking earns the resource that unlocks your cool moves -&gt; constant push-forward incentive with strategic pauses.</t>
  </si>
  <si>
    <t xml:space="preserve">The core loop: normal actions charge a resource, the resource buys spectacular actions.</t>
  </si>
  <si>
    <t xml:space="preserve">M009</t>
  </si>
  <si>
    <t xml:space="preserve">Pressure &amp; Stagger</t>
  </si>
  <si>
    <t xml:space="preserve">Exploiting weaknesses or specific tactics "pressures" enemies; pressured enemies fill a stagger gauge faster; staggered enemies take massively boosted damage. Assess materia reveals each enemy's pressure conditions. Bosses have destructible parts with own health bars.</t>
  </si>
  <si>
    <t xml:space="preserve">Learn the enemy -&gt; execute its puzzle -&gt; huge damage window payoff -&gt; every fight is a knowledge check, not a stat check.</t>
  </si>
  <si>
    <t xml:space="preserve">Turns combat itself into exploration (of enemy design). Assess = in-combat "scanning" reward.</t>
  </si>
  <si>
    <t xml:space="preserve">M010</t>
  </si>
  <si>
    <t xml:space="preserve">Synergy Skills &amp; Abilities</t>
  </si>
  <si>
    <t xml:space="preserve">Free two-character team-up skills (no ATB cost) that build ATB for both users. Spending ATB builds synergy charges; full charges unlock cinematic paired Synergy Abilities with bonus effects.</t>
  </si>
  <si>
    <t xml:space="preserve">Cooperation compounds: small team moves feed the resource -&gt; big team moves -&gt; party feels like a band, not solo heroes rotating.</t>
  </si>
  <si>
    <t xml:space="preserve">Also gated by the relationship/folio systems — combat power expresses character bonds.</t>
  </si>
  <si>
    <t xml:space="preserve">M011</t>
  </si>
  <si>
    <t xml:space="preserve">Switchable 3-character party</t>
  </si>
  <si>
    <t xml:space="preserve">Direct control of one of three frontliners, hot-swappable anytime; each character is a genuinely different playstyle (Cloud stance-dance, Barret ranged, Tifa combo-rush, Aerith zoning wards).</t>
  </si>
  <si>
    <t xml:space="preserve">Mastery depth: one combat system, seven different ways to play it -&gt; replay value inside every battle.</t>
  </si>
  <si>
    <t xml:space="preserve">M012</t>
  </si>
  <si>
    <t xml:space="preserve">World Intel (umbrella checklist)</t>
  </si>
  <si>
    <t xml:space="preserve">Each open region has categories of discoverable activities (towers, lifesprings, fiend hunts, shrines, digs, moogles, protorelics). ALL of them pay out the same two meta-rewards — regional Data Points and Party EXP — plus activity-specific rewards.</t>
  </si>
  <si>
    <t xml:space="preserve">Any activity -&gt; guaranteed dual payout (currency + party growth) + its own unique reward -&gt; no exploration is ever "empty calories".</t>
  </si>
  <si>
    <t xml:space="preserve">The architecture to study: many activity TYPES, one unified reward SPINE. Consistency makes the player trust that exploring always pays.</t>
  </si>
  <si>
    <t xml:space="preserve">M013</t>
  </si>
  <si>
    <t xml:space="preserve">Remnawave Towers</t>
  </si>
  <si>
    <t xml:space="preserve">Climbable towers (guarded by enemies) that, when activated, reveal nearby points of interest on the map and become fast-travel points.</t>
  </si>
  <si>
    <t xml:space="preserve">Small effort -&gt; map knowledge + convenience -&gt; reduces friction for all future exploration in the region.</t>
  </si>
  <si>
    <t xml:space="preserve">Classic Ubisoft-style tower. Decide: do you want revealed icons (guided) or Elden Ring-style unguided discovery? See ER rows.</t>
  </si>
  <si>
    <t xml:space="preserve">M014</t>
  </si>
  <si>
    <t xml:space="preserve">Lifesprings + Springseeker Owls</t>
  </si>
  <si>
    <t xml:space="preserve">Glowing owls in the wild lead you to hidden mako springs. Activating one grants regional lore, a materials cache, and progressively unlocks Excavation sites and the region's secret boss (Classified Intel).</t>
  </si>
  <si>
    <t xml:space="preserve">Follow a curious creature -&gt; discover a secret spot -&gt; get lore + loot + NEW secrets unlocked -&gt; discovery breeds more discovery.</t>
  </si>
  <si>
    <t xml:space="preserve">Great "organic guide" pattern: instead of map markers, a living creature invites you off the road. Rewards that unlock further rewards = chained discovery.</t>
  </si>
  <si>
    <t xml:space="preserve">M015</t>
  </si>
  <si>
    <t xml:space="preserve">Fiend Intel (elite hunts w/ bonus objectives)</t>
  </si>
  <si>
    <t xml:space="preserve">Rare elite monster variants in the overworld. Each fight has 3 optional objectives (e.g., stagger it, win before X move) that multiply the rewards and unlock combat simulator content.</t>
  </si>
  <si>
    <t xml:space="preserve">Optional challenge tiers inside the encounter -&gt; skilled play is directly paid -&gt; same content rewards casual and expert players differently.</t>
  </si>
  <si>
    <t xml:space="preserve">M016</t>
  </si>
  <si>
    <t xml:space="preserve">Classified Intel (regional secret boss)</t>
  </si>
  <si>
    <t xml:space="preserve">Completing all lifesprings in a region reveals a hidden legendary monster. It drops materials found nowhere else and unlocks new enemy-skill learning fights.</t>
  </si>
  <si>
    <t xml:space="preserve">Thorough exploration -&gt; exclusive climactic challenge -&gt; exclusive rewards -&gt; completionism gets a boss fight as its trophy.</t>
  </si>
  <si>
    <t xml:space="preserve">Strong pillar fit: the REWARD for exploring everything is more GAME (a secret boss), not just an item.</t>
  </si>
  <si>
    <t xml:space="preserve">M017</t>
  </si>
  <si>
    <t xml:space="preserve">Summon Sanctuaries (Divine Intel)</t>
  </si>
  <si>
    <t xml:space="preserve">Each region hides 3 shrines tied to its summon deity. Solving each shrine's memory minigame weakens the summon's trial boss AND levels up the summon materia (finding all 3 maxes it at 4 stars with a new ability).</t>
  </si>
  <si>
    <t xml:space="preserve">Explore shrines -&gt; the upcoming boss gets easier AND the prize gets stronger -&gt; exploration converts directly into both accessibility and power.</t>
  </si>
  <si>
    <t xml:space="preserve">One of the best "world exploration = upgrades" designs in the game. The same collectible tunes difficulty down and power up simultaneously.</t>
  </si>
  <si>
    <t xml:space="preserve">M018</t>
  </si>
  <si>
    <t xml:space="preserve">Excavation Intel (chocobo digging)</t>
  </si>
  <si>
    <t xml:space="preserve">Lifesprings reveal dig sites; ride a chocobo that sniffs out buried treasure, including Transmuter Chips that permanently expand your crafting recipe list.</t>
  </si>
  <si>
    <t xml:space="preserve">Discovery -&gt; buried treasure -&gt; permanent crafting expansion -&gt; loot that upgrades a SYSTEM, not just your inventory.</t>
  </si>
  <si>
    <t xml:space="preserve">Steal this: some exploration rewards should upgrade your capabilities/systems (recipes, tools) rather than hand over items.</t>
  </si>
  <si>
    <t xml:space="preserve">M019</t>
  </si>
  <si>
    <t xml:space="preserve">Protorelic questlines</t>
  </si>
  <si>
    <t xml:space="preserve">Each region has a 4-stage themed quest chain (different genre of activity per region) hunting a mysterious relic. Collecting all protorelics across the game unlocks a powerful secret summon.</t>
  </si>
  <si>
    <t xml:space="preserve">Regional stories chain into a game-spanning meta-collection -&gt; long-horizon reward for consistent explorers.</t>
  </si>
  <si>
    <t xml:space="preserve">Pattern: local collectibles that also feed ONE big global prize.</t>
  </si>
  <si>
    <t xml:space="preserve">M020</t>
  </si>
  <si>
    <t xml:space="preserve">Mogstools / Moogle Emporium</t>
  </si>
  <si>
    <t xml:space="preserve">Hidden moogle houses with a herding minigame. Each clear raises your Emporium level, unlocking new stock (manuscripts, materia, gear) purchasable with Moogle Medals earned from minigames.</t>
  </si>
  <si>
    <t xml:space="preserve">Find secret spot -&gt; play toy challenge -&gt; a SHOP grows -&gt; the reward is expanded purchasing options, which chain into further upgrades.</t>
  </si>
  <si>
    <t xml:space="preserve">M021</t>
  </si>
  <si>
    <t xml:space="preserve">Chocobo Intel (regional mounts w/ unique traversal)</t>
  </si>
  <si>
    <t xml:space="preserve">Each region has a stealth challenge to capture its native chocobo, which has a region-specific traversal power (gliding, wall-climbing, water-walking) required to reach that region's secrets.</t>
  </si>
  <si>
    <t xml:space="preserve">Earn the mount -&gt; previously visible-but-unreachable places open up -&gt; the map itself is an upgrade tree.</t>
  </si>
  <si>
    <t xml:space="preserve">Metroidvania logic in an open world: traversal abilities ARE upgrades, and terrain is the lock. Perfect fit for exploration-first design.</t>
  </si>
  <si>
    <t xml:space="preserve">M022</t>
  </si>
  <si>
    <t xml:space="preserve">Region-locked Data Points -&gt; Materia development</t>
  </si>
  <si>
    <t xml:space="preserve">All World Intel pays Data Points, but they are locked to the region they were earned in. Spent with Chadley to develop unique materia per region.</t>
  </si>
  <si>
    <t xml:space="preserve">Forces genuine engagement with EACH region (can't grind one zone for everything) -&gt; every new area has its own exclusive upgrade shelf.</t>
  </si>
  <si>
    <t xml:space="preserve">Interesting anti-grind lever: regional currencies keep every area relevant. Could feel restrictive — decide consciously.</t>
  </si>
  <si>
    <t xml:space="preserve">M023</t>
  </si>
  <si>
    <t xml:space="preserve">Item Transmuter (portable crafting)</t>
  </si>
  <si>
    <t xml:space="preserve">Craft consumables/gear anywhere from gathered materials. Crafting new item types grants transmuter EXP, leveling it up to unlock more recipes; chips found by exploring expand it further.</t>
  </si>
  <si>
    <t xml:space="preserve">Gathering while exploring -&gt; crafting -&gt; the crafting SYSTEM levels up too -&gt; even your tools have an upgrade track.</t>
  </si>
  <si>
    <t xml:space="preserve">Literal embodiment of "everything has upgrades" — the crafting menu itself has XP and levels.</t>
  </si>
  <si>
    <t xml:space="preserve">M024</t>
  </si>
  <si>
    <t xml:space="preserve">Queen's Blood (collectible card game)</t>
  </si>
  <si>
    <t xml:space="preserve">Full deck-builder card minigame. Cards are acquired from shops, quest rewards, and beating opponents scattered across the whole world; a dedicated storyline runs through it.</t>
  </si>
  <si>
    <t xml:space="preserve">Every town hides new opponents/cards -&gt; exploration feeds a parallel collection/mastery loop independent of combat power.</t>
  </si>
  <si>
    <t xml:space="preserve">A minigame with its own progression + collection + narrative = a second game keeping the world sticky.</t>
  </si>
  <si>
    <t xml:space="preserve">M025</t>
  </si>
  <si>
    <t xml:space="preserve">Gold Saucer &amp; minigame economy (GP)</t>
  </si>
  <si>
    <t xml:space="preserve">Theme-park hub of minigames paying GP, a dedicated currency for exclusive prizes; dozens of one-off minigames also gate manuscripts and gear throughout the game.</t>
  </si>
  <si>
    <t xml:space="preserve">Play variety content -&gt; exclusive currency -&gt; exclusive prizes -&gt; changes of pace still feed the reward spine.</t>
  </si>
  <si>
    <t xml:space="preserve">M026</t>
  </si>
  <si>
    <t xml:space="preserve">Bond / relationship system</t>
  </si>
  <si>
    <t xml:space="preserve">Dialogue choices, side quests, and synergy usage raise hidden affinity per companion; affinity affects scenes (notably the Gold Saucer date) and is boosted by doing character-linked side content.</t>
  </si>
  <si>
    <t xml:space="preserve">Optional content deepens relationships -&gt; emotional payoff scenes -&gt; rewards can be narrative, not just numeric.</t>
  </si>
  <si>
    <t xml:space="preserve">Reminder for your design: "reward" can be story, intimacy, and lore — not only stats.</t>
  </si>
  <si>
    <t xml:space="preserve">M027</t>
  </si>
  <si>
    <t xml:space="preserve">Chapter Select / Hard Mode NG+</t>
  </si>
  <si>
    <t xml:space="preserve">Finishing the game unlocks chapter select with all progress retained. Hard mode bans items, gives bosses new moves, and drops exclusive manuscripts needed to max folios.</t>
  </si>
  <si>
    <t xml:space="preserve">Full character completion REQUIRES mastering hard mode -&gt; replay is an upgrade path, not a reset.</t>
  </si>
  <si>
    <t xml:space="preserve">M028</t>
  </si>
  <si>
    <t xml:space="preserve">Paintings -&gt; vista treasure</t>
  </si>
  <si>
    <t xml:space="preserve">Find a painting in a ruin; it depicts a real location somewhere in the world. Travel there, identify the painted vantage point, and a ghost appears with a reward on the spot.</t>
  </si>
  <si>
    <t xml:space="preserve">Discovery creates a riddle -&gt; the WORLD is the answer key -&gt; solving it with your own eyes pays off with an item. Reward for paying attention to scenery.</t>
  </si>
  <si>
    <t xml:space="preserve">You flagged this as a favorite. The genius: it rewards knowing the world, not clearing a marker. Your version could use sketches, photos, songs, or NPC rumors that describe places visually.</t>
  </si>
  <si>
    <t xml:space="preserve">M029</t>
  </si>
  <si>
    <t xml:space="preserve">Unmarked world density (every landmark pays off)</t>
  </si>
  <si>
    <t xml:space="preserve">No quest markers or checklists. Every ruin, cave, and odd silhouette on the horizon reliably contains SOMETHING (boss, talisman, crafting book, NPC). Trust is built through consistency.</t>
  </si>
  <si>
    <t xml:space="preserve">See interesting shape -&gt; go there -&gt; always rewarded -&gt; curiosity itself becomes the quest log.</t>
  </si>
  <si>
    <t xml:space="preserve">The opposite philosophy to FF7R's World Intel checklist. Decide where your game sits on the guided &lt;-&gt; unguided spectrum; you can hybridize.</t>
  </si>
  <si>
    <t xml:space="preserve">M030</t>
  </si>
  <si>
    <t xml:space="preserve">Golden Seeds &amp; Sacred Tears (exploration -&gt; healing upgrades)</t>
  </si>
  <si>
    <t xml:space="preserve">Glowing saplings and church statues scattered across the map hold seeds/tears that directly upgrade your healing flask count and potency.</t>
  </si>
  <si>
    <t xml:space="preserve">Spot a landmark -&gt; walk over -&gt; permanent survivability upgrade -&gt; the most vital upgrade resource is placed as pure exploration bait.</t>
  </si>
  <si>
    <t xml:space="preserve">Pattern: put your game's most universally-wanted upgrade out in the world as visible landmarks, not in shops.</t>
  </si>
  <si>
    <t xml:space="preserve">M031</t>
  </si>
  <si>
    <t xml:space="preserve">Illusory walls &amp; secret-behind-secret</t>
  </si>
  <si>
    <t xml:space="preserve">Some walls are fake and hide rooms, sometimes chaining multiple layers deep. Message system lets players hint to each other.</t>
  </si>
  <si>
    <t xml:space="preserve">Paranoid curiosity -&gt; occasional jackpot -&gt; stories players tell each other. Rewards the "what if I check?" instinct.</t>
  </si>
  <si>
    <t xml:space="preserve">#</t>
  </si>
  <si>
    <t xml:space="preserve">Pillar</t>
  </si>
  <si>
    <t xml:space="preserve">What it means</t>
  </si>
  <si>
    <t xml:space="preserve">Test question for any mechanic</t>
  </si>
  <si>
    <t xml:space="preserve">The world rewards exploration</t>
  </si>
  <si>
    <t xml:space="preserve">Every place worth looking at contains something worth finding. No empty vistas, no dead ends without a payoff.</t>
  </si>
  <si>
    <t xml:space="preserve">If a player wanders off the path here, do they get something? (item, lore, upgrade, secret, or more game)</t>
  </si>
  <si>
    <t xml:space="preserve">Everything has upgrades</t>
  </si>
  <si>
    <t xml:space="preserve">Not just characters: weapons, tools, shops, crafting, mounts, even minigames should have their own growth track.</t>
  </si>
  <si>
    <t xml:space="preserve">Does this system have its own progress bar? Can the player make it better over time?</t>
  </si>
  <si>
    <t xml:space="preserve">Discovery breeds discovery</t>
  </si>
  <si>
    <t xml:space="preserve">Finding one secret should unlock, hint at, or reveal the next one (FF7R lifesprings -&gt; dig sites -&gt; secret boss).</t>
  </si>
  <si>
    <t xml:space="preserve">Does this reward chain into another reward?</t>
  </si>
  <si>
    <t xml:space="preserve">Rewards are layered</t>
  </si>
  <si>
    <t xml:space="preserve">One action should pay out on multiple meters at once (FF7R: any intel = Data Points + Party EXP + its own prize).</t>
  </si>
  <si>
    <t xml:space="preserve">How many progress systems does completing this touch? (aim for 2+)</t>
  </si>
  <si>
    <t xml:space="preserve">Knowledge is a reward</t>
  </si>
  <si>
    <t xml:space="preserve">Lore, enemy weaknesses, map understanding, and riddle answers (Elden Ring paintings) are treasures too.</t>
  </si>
  <si>
    <t xml:space="preserve">Can a player be rewarded here just for paying attention?</t>
  </si>
  <si>
    <t xml:space="preserve">Research Summary</t>
  </si>
  <si>
    <t xml:space="preserve">Games in roster</t>
  </si>
  <si>
    <t xml:space="preserve">Games researched</t>
  </si>
  <si>
    <t xml:space="preserve">Games still to research</t>
  </si>
  <si>
    <t xml:space="preserve">Mechanics logged</t>
  </si>
  <si>
    <t xml:space="preserve">Mechanics you want in your game (Yes)</t>
  </si>
  <si>
    <t xml:space="preserve">Mechanics under consideration (Maybe)</t>
  </si>
  <si>
    <t xml:space="preserve">Exploration &amp; Rewards mechanics logged</t>
  </si>
  <si>
    <t xml:space="preserve">Progression &amp; Upgrades mechanics logged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</si>
</sst>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11</v>
      </c>
      <c r="B11" s="4"/>
    </row>
    <row r="12" customFormat="false" ht="1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23.85" hidden="false" customHeight="false" outlineLevel="0" collapsed="false">
      <c r="A14" s="3" t="s">
        <v>16</v>
      </c>
      <c r="B14" s="4" t="s">
        <v>17</v>
      </c>
    </row>
    <row r="15" customFormat="false" ht="23.8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22</v>
      </c>
      <c r="B18" s="4"/>
    </row>
    <row r="19" customFormat="false" ht="15" hidden="false" customHeight="false" outlineLevel="0" collapsed="false">
      <c r="A19" s="3" t="s">
        <v>23</v>
      </c>
      <c r="B19" s="4" t="s">
        <v>24</v>
      </c>
    </row>
    <row r="20" customFormat="false" ht="15" hidden="false" customHeight="false" outlineLevel="0" collapsed="false">
      <c r="A20" s="3" t="s">
        <v>25</v>
      </c>
      <c r="B20" s="4" t="s">
        <v>26</v>
      </c>
    </row>
    <row r="21" customFormat="false" ht="15" hidden="false" customHeight="false" outlineLevel="0" collapsed="false">
      <c r="A21" s="3" t="s">
        <v>27</v>
      </c>
      <c r="B21" s="4" t="s">
        <v>28</v>
      </c>
    </row>
    <row r="22" customFormat="false" ht="15" hidden="false" customHeight="false" outlineLevel="0" collapsed="false">
      <c r="A22" s="3" t="s">
        <v>29</v>
      </c>
      <c r="B22" s="4" t="s">
        <v>30</v>
      </c>
    </row>
    <row r="23" customFormat="false" ht="15" hidden="false" customHeight="false" outlineLevel="0" collapsed="false">
      <c r="A23" s="3" t="s">
        <v>31</v>
      </c>
      <c r="B23" s="4" t="s">
        <v>32</v>
      </c>
    </row>
    <row r="24" customFormat="false" ht="15" hidden="false" customHeight="false" outlineLevel="0" collapsed="false">
      <c r="A24" s="3" t="s">
        <v>33</v>
      </c>
      <c r="B24" s="4" t="s">
        <v>34</v>
      </c>
    </row>
    <row r="25" customFormat="false" ht="15" hidden="false" customHeight="false" outlineLevel="0" collapsed="false">
      <c r="A25" s="3" t="s">
        <v>35</v>
      </c>
      <c r="B25" s="4" t="s">
        <v>36</v>
      </c>
    </row>
    <row r="26" customFormat="false" ht="15" hidden="false" customHeight="false" outlineLevel="0" collapsed="false">
      <c r="A26" s="3" t="s">
        <v>37</v>
      </c>
      <c r="B26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</row>
    <row r="2" customFormat="false" ht="23.85" hidden="false" customHeight="false" outlineLevel="0" collapsed="false">
      <c r="A2" s="7" t="s">
        <v>46</v>
      </c>
      <c r="B2" s="7" t="n">
        <v>2024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</row>
    <row r="3" customFormat="false" ht="23.85" hidden="false" customHeight="false" outlineLevel="0" collapsed="false">
      <c r="A3" s="7" t="s">
        <v>52</v>
      </c>
      <c r="B3" s="7" t="n">
        <v>2022</v>
      </c>
      <c r="C3" s="7" t="s">
        <v>53</v>
      </c>
      <c r="D3" s="7" t="s">
        <v>54</v>
      </c>
      <c r="E3" s="7" t="s">
        <v>55</v>
      </c>
      <c r="F3" s="7" t="s">
        <v>50</v>
      </c>
      <c r="G3" s="7" t="s">
        <v>56</v>
      </c>
    </row>
    <row r="4" customFormat="false" ht="15" hidden="false" customHeight="false" outlineLevel="0" collapsed="false">
      <c r="A4" s="7" t="s">
        <v>57</v>
      </c>
      <c r="B4" s="7" t="n">
        <v>2001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</row>
    <row r="5" customFormat="false" ht="15" hidden="false" customHeight="false" outlineLevel="0" collapsed="false">
      <c r="A5" s="7" t="s">
        <v>63</v>
      </c>
      <c r="B5" s="7" t="n">
        <v>2019</v>
      </c>
      <c r="C5" s="7" t="s">
        <v>64</v>
      </c>
      <c r="D5" s="7" t="s">
        <v>65</v>
      </c>
      <c r="E5" s="7" t="s">
        <v>60</v>
      </c>
      <c r="F5" s="7" t="s">
        <v>61</v>
      </c>
      <c r="G5" s="7" t="s">
        <v>66</v>
      </c>
    </row>
    <row r="6" customFormat="false" ht="23.85" hidden="false" customHeight="false" outlineLevel="0" collapsed="false">
      <c r="A6" s="7" t="s">
        <v>67</v>
      </c>
      <c r="B6" s="7" t="n">
        <v>2022</v>
      </c>
      <c r="C6" s="7" t="s">
        <v>68</v>
      </c>
      <c r="D6" s="7" t="s">
        <v>69</v>
      </c>
      <c r="E6" s="7" t="s">
        <v>60</v>
      </c>
      <c r="F6" s="7" t="s">
        <v>61</v>
      </c>
      <c r="G6" s="7" t="s">
        <v>70</v>
      </c>
    </row>
    <row r="7" customFormat="false" ht="15" hidden="false" customHeight="false" outlineLevel="0" collapsed="false">
      <c r="A7" s="7" t="s">
        <v>71</v>
      </c>
      <c r="B7" s="7" t="n">
        <v>2017</v>
      </c>
      <c r="C7" s="7" t="s">
        <v>47</v>
      </c>
      <c r="D7" s="7" t="s">
        <v>59</v>
      </c>
      <c r="E7" s="7" t="s">
        <v>60</v>
      </c>
      <c r="F7" s="7" t="s">
        <v>72</v>
      </c>
      <c r="G7" s="7" t="s">
        <v>73</v>
      </c>
    </row>
    <row r="8" customFormat="false" ht="23.85" hidden="false" customHeight="false" outlineLevel="0" collapsed="false">
      <c r="A8" s="7" t="s">
        <v>74</v>
      </c>
      <c r="B8" s="7" t="n">
        <v>2023</v>
      </c>
      <c r="C8" s="7" t="s">
        <v>75</v>
      </c>
      <c r="D8" s="7" t="s">
        <v>76</v>
      </c>
      <c r="E8" s="7" t="s">
        <v>60</v>
      </c>
      <c r="F8" s="7" t="s">
        <v>61</v>
      </c>
      <c r="G8" s="7" t="s">
        <v>77</v>
      </c>
    </row>
    <row r="9" customFormat="false" ht="23.85" hidden="false" customHeight="false" outlineLevel="0" collapsed="false">
      <c r="A9" s="7" t="s">
        <v>78</v>
      </c>
      <c r="B9" s="7" t="n">
        <v>2022</v>
      </c>
      <c r="C9" s="7" t="s">
        <v>79</v>
      </c>
      <c r="D9" s="7" t="s">
        <v>80</v>
      </c>
      <c r="E9" s="7" t="s">
        <v>60</v>
      </c>
      <c r="F9" s="7" t="s">
        <v>72</v>
      </c>
      <c r="G9" s="7" t="s">
        <v>81</v>
      </c>
    </row>
    <row r="10" customFormat="false" ht="23.85" hidden="false" customHeight="false" outlineLevel="0" collapsed="false">
      <c r="A10" s="7" t="s">
        <v>82</v>
      </c>
      <c r="B10" s="7" t="n">
        <v>2023</v>
      </c>
      <c r="C10" s="7" t="s">
        <v>83</v>
      </c>
      <c r="D10" s="7" t="s">
        <v>84</v>
      </c>
      <c r="E10" s="7" t="s">
        <v>60</v>
      </c>
      <c r="F10" s="7" t="s">
        <v>72</v>
      </c>
      <c r="G10" s="7" t="s">
        <v>85</v>
      </c>
    </row>
  </sheetData>
  <autoFilter ref="A1:G10"/>
  <dataValidations count="2">
    <dataValidation allowBlank="true" errorStyle="stop" operator="between" showDropDown="false" showErrorMessage="false" showInputMessage="false" sqref="E2:E200" type="list">
      <formula1>"To Research,Researching,Researched"</formula1>
      <formula2>0</formula2>
    </dataValidation>
    <dataValidation allowBlank="true" errorStyle="stop" operator="between" showDropDown="false" showErrorMessage="false" showInputMessage="false" sqref="F2:F2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6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9.55" hidden="false" customHeight="false" outlineLevel="0" collapsed="false">
      <c r="A1" s="6" t="s">
        <v>86</v>
      </c>
      <c r="B1" s="6" t="s">
        <v>39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</row>
    <row r="2" customFormat="false" ht="46.25" hidden="false" customHeight="false" outlineLevel="0" collapsed="false">
      <c r="A2" s="7" t="s">
        <v>94</v>
      </c>
      <c r="B2" s="7" t="s">
        <v>46</v>
      </c>
      <c r="C2" s="7" t="s">
        <v>95</v>
      </c>
      <c r="D2" s="7" t="s">
        <v>25</v>
      </c>
      <c r="E2" s="7" t="s">
        <v>96</v>
      </c>
      <c r="F2" s="7" t="s">
        <v>97</v>
      </c>
      <c r="G2" s="7"/>
      <c r="H2" s="8" t="s">
        <v>98</v>
      </c>
      <c r="I2" s="7" t="s">
        <v>99</v>
      </c>
    </row>
    <row r="3" customFormat="false" ht="46.25" hidden="false" customHeight="false" outlineLevel="0" collapsed="false">
      <c r="A3" s="7" t="s">
        <v>100</v>
      </c>
      <c r="B3" s="7" t="s">
        <v>46</v>
      </c>
      <c r="C3" s="7" t="s">
        <v>101</v>
      </c>
      <c r="D3" s="7" t="s">
        <v>25</v>
      </c>
      <c r="E3" s="7" t="s">
        <v>102</v>
      </c>
      <c r="F3" s="7" t="s">
        <v>103</v>
      </c>
      <c r="G3" s="7"/>
      <c r="H3" s="8" t="s">
        <v>98</v>
      </c>
      <c r="I3" s="7" t="s">
        <v>104</v>
      </c>
    </row>
    <row r="4" customFormat="false" ht="35.05" hidden="false" customHeight="false" outlineLevel="0" collapsed="false">
      <c r="A4" s="7" t="s">
        <v>105</v>
      </c>
      <c r="B4" s="7" t="s">
        <v>46</v>
      </c>
      <c r="C4" s="7" t="s">
        <v>106</v>
      </c>
      <c r="D4" s="7" t="s">
        <v>25</v>
      </c>
      <c r="E4" s="7" t="s">
        <v>107</v>
      </c>
      <c r="F4" s="7" t="s">
        <v>108</v>
      </c>
      <c r="G4" s="7"/>
      <c r="H4" s="7" t="s">
        <v>109</v>
      </c>
      <c r="I4" s="7" t="s">
        <v>110</v>
      </c>
    </row>
    <row r="5" customFormat="false" ht="46.25" hidden="false" customHeight="false" outlineLevel="0" collapsed="false">
      <c r="A5" s="7" t="s">
        <v>111</v>
      </c>
      <c r="B5" s="7" t="s">
        <v>46</v>
      </c>
      <c r="C5" s="7" t="s">
        <v>112</v>
      </c>
      <c r="D5" s="7" t="s">
        <v>25</v>
      </c>
      <c r="E5" s="7" t="s">
        <v>113</v>
      </c>
      <c r="F5" s="7" t="s">
        <v>114</v>
      </c>
      <c r="G5" s="7"/>
      <c r="H5" s="7"/>
      <c r="I5" s="7" t="s">
        <v>115</v>
      </c>
    </row>
    <row r="6" customFormat="false" ht="35.05" hidden="false" customHeight="false" outlineLevel="0" collapsed="false">
      <c r="A6" s="7" t="s">
        <v>116</v>
      </c>
      <c r="B6" s="7" t="s">
        <v>46</v>
      </c>
      <c r="C6" s="7" t="s">
        <v>117</v>
      </c>
      <c r="D6" s="7" t="s">
        <v>25</v>
      </c>
      <c r="E6" s="7" t="s">
        <v>118</v>
      </c>
      <c r="F6" s="7" t="s">
        <v>119</v>
      </c>
      <c r="G6" s="7"/>
      <c r="H6" s="7" t="s">
        <v>109</v>
      </c>
      <c r="I6" s="7" t="s">
        <v>120</v>
      </c>
    </row>
    <row r="7" customFormat="false" ht="23.85" hidden="false" customHeight="false" outlineLevel="0" collapsed="false">
      <c r="A7" s="7" t="s">
        <v>121</v>
      </c>
      <c r="B7" s="7" t="s">
        <v>46</v>
      </c>
      <c r="C7" s="7" t="s">
        <v>122</v>
      </c>
      <c r="D7" s="7" t="s">
        <v>25</v>
      </c>
      <c r="E7" s="7" t="s">
        <v>123</v>
      </c>
      <c r="F7" s="7" t="s">
        <v>124</v>
      </c>
      <c r="G7" s="7"/>
      <c r="H7" s="7"/>
      <c r="I7" s="7" t="s">
        <v>125</v>
      </c>
    </row>
    <row r="8" customFormat="false" ht="23.85" hidden="false" customHeight="false" outlineLevel="0" collapsed="false">
      <c r="A8" s="7" t="s">
        <v>126</v>
      </c>
      <c r="B8" s="7" t="s">
        <v>46</v>
      </c>
      <c r="C8" s="7" t="s">
        <v>127</v>
      </c>
      <c r="D8" s="7" t="s">
        <v>25</v>
      </c>
      <c r="E8" s="7" t="s">
        <v>128</v>
      </c>
      <c r="F8" s="7" t="s">
        <v>129</v>
      </c>
      <c r="G8" s="7"/>
      <c r="H8" s="7"/>
      <c r="I8" s="7" t="s">
        <v>130</v>
      </c>
    </row>
    <row r="9" customFormat="false" ht="35.05" hidden="false" customHeight="false" outlineLevel="0" collapsed="false">
      <c r="A9" s="7" t="s">
        <v>131</v>
      </c>
      <c r="B9" s="7" t="s">
        <v>46</v>
      </c>
      <c r="C9" s="7" t="s">
        <v>132</v>
      </c>
      <c r="D9" s="7" t="s">
        <v>27</v>
      </c>
      <c r="E9" s="7" t="s">
        <v>133</v>
      </c>
      <c r="F9" s="7" t="s">
        <v>134</v>
      </c>
      <c r="G9" s="7"/>
      <c r="H9" s="7"/>
      <c r="I9" s="7" t="s">
        <v>135</v>
      </c>
    </row>
    <row r="10" customFormat="false" ht="46.25" hidden="false" customHeight="false" outlineLevel="0" collapsed="false">
      <c r="A10" s="7" t="s">
        <v>136</v>
      </c>
      <c r="B10" s="7" t="s">
        <v>46</v>
      </c>
      <c r="C10" s="7" t="s">
        <v>137</v>
      </c>
      <c r="D10" s="7" t="s">
        <v>27</v>
      </c>
      <c r="E10" s="7" t="s">
        <v>138</v>
      </c>
      <c r="F10" s="7" t="s">
        <v>139</v>
      </c>
      <c r="G10" s="7"/>
      <c r="H10" s="7"/>
      <c r="I10" s="7" t="s">
        <v>140</v>
      </c>
    </row>
    <row r="11" customFormat="false" ht="35.05" hidden="false" customHeight="false" outlineLevel="0" collapsed="false">
      <c r="A11" s="7" t="s">
        <v>141</v>
      </c>
      <c r="B11" s="7" t="s">
        <v>46</v>
      </c>
      <c r="C11" s="7" t="s">
        <v>142</v>
      </c>
      <c r="D11" s="7" t="s">
        <v>27</v>
      </c>
      <c r="E11" s="7" t="s">
        <v>143</v>
      </c>
      <c r="F11" s="7" t="s">
        <v>144</v>
      </c>
      <c r="G11" s="7"/>
      <c r="H11" s="7"/>
      <c r="I11" s="7" t="s">
        <v>145</v>
      </c>
    </row>
    <row r="12" customFormat="false" ht="35.05" hidden="false" customHeight="false" outlineLevel="0" collapsed="false">
      <c r="A12" s="7" t="s">
        <v>146</v>
      </c>
      <c r="B12" s="7" t="s">
        <v>46</v>
      </c>
      <c r="C12" s="7" t="s">
        <v>147</v>
      </c>
      <c r="D12" s="7" t="s">
        <v>27</v>
      </c>
      <c r="E12" s="7" t="s">
        <v>148</v>
      </c>
      <c r="F12" s="7" t="s">
        <v>149</v>
      </c>
      <c r="G12" s="7"/>
      <c r="H12" s="7"/>
      <c r="I12" s="7"/>
    </row>
    <row r="13" customFormat="false" ht="46.25" hidden="false" customHeight="false" outlineLevel="0" collapsed="false">
      <c r="A13" s="7" t="s">
        <v>150</v>
      </c>
      <c r="B13" s="7" t="s">
        <v>46</v>
      </c>
      <c r="C13" s="7" t="s">
        <v>151</v>
      </c>
      <c r="D13" s="7" t="s">
        <v>23</v>
      </c>
      <c r="E13" s="7" t="s">
        <v>152</v>
      </c>
      <c r="F13" s="7" t="s">
        <v>153</v>
      </c>
      <c r="G13" s="7"/>
      <c r="H13" s="7"/>
      <c r="I13" s="7" t="s">
        <v>154</v>
      </c>
    </row>
    <row r="14" customFormat="false" ht="23.85" hidden="false" customHeight="false" outlineLevel="0" collapsed="false">
      <c r="A14" s="7" t="s">
        <v>155</v>
      </c>
      <c r="B14" s="7" t="s">
        <v>46</v>
      </c>
      <c r="C14" s="7" t="s">
        <v>156</v>
      </c>
      <c r="D14" s="7" t="s">
        <v>23</v>
      </c>
      <c r="E14" s="7" t="s">
        <v>157</v>
      </c>
      <c r="F14" s="7" t="s">
        <v>158</v>
      </c>
      <c r="G14" s="7"/>
      <c r="H14" s="7"/>
      <c r="I14" s="7" t="s">
        <v>159</v>
      </c>
    </row>
    <row r="15" customFormat="false" ht="35.05" hidden="false" customHeight="false" outlineLevel="0" collapsed="false">
      <c r="A15" s="7" t="s">
        <v>160</v>
      </c>
      <c r="B15" s="7" t="s">
        <v>46</v>
      </c>
      <c r="C15" s="7" t="s">
        <v>161</v>
      </c>
      <c r="D15" s="7" t="s">
        <v>23</v>
      </c>
      <c r="E15" s="7" t="s">
        <v>162</v>
      </c>
      <c r="F15" s="7" t="s">
        <v>163</v>
      </c>
      <c r="G15" s="7"/>
      <c r="H15" s="7" t="s">
        <v>109</v>
      </c>
      <c r="I15" s="7" t="s">
        <v>164</v>
      </c>
    </row>
    <row r="16" customFormat="false" ht="35.05" hidden="false" customHeight="false" outlineLevel="0" collapsed="false">
      <c r="A16" s="7" t="s">
        <v>165</v>
      </c>
      <c r="B16" s="7" t="s">
        <v>46</v>
      </c>
      <c r="C16" s="7" t="s">
        <v>166</v>
      </c>
      <c r="D16" s="7" t="s">
        <v>23</v>
      </c>
      <c r="E16" s="7" t="s">
        <v>167</v>
      </c>
      <c r="F16" s="7" t="s">
        <v>168</v>
      </c>
      <c r="G16" s="7"/>
      <c r="H16" s="7"/>
      <c r="I16" s="7"/>
    </row>
    <row r="17" customFormat="false" ht="35.05" hidden="false" customHeight="false" outlineLevel="0" collapsed="false">
      <c r="A17" s="7" t="s">
        <v>169</v>
      </c>
      <c r="B17" s="7" t="s">
        <v>46</v>
      </c>
      <c r="C17" s="7" t="s">
        <v>170</v>
      </c>
      <c r="D17" s="7" t="s">
        <v>23</v>
      </c>
      <c r="E17" s="7" t="s">
        <v>171</v>
      </c>
      <c r="F17" s="7" t="s">
        <v>172</v>
      </c>
      <c r="G17" s="7"/>
      <c r="H17" s="7" t="s">
        <v>109</v>
      </c>
      <c r="I17" s="7" t="s">
        <v>173</v>
      </c>
    </row>
    <row r="18" customFormat="false" ht="46.25" hidden="false" customHeight="false" outlineLevel="0" collapsed="false">
      <c r="A18" s="7" t="s">
        <v>174</v>
      </c>
      <c r="B18" s="7" t="s">
        <v>46</v>
      </c>
      <c r="C18" s="7" t="s">
        <v>175</v>
      </c>
      <c r="D18" s="7" t="s">
        <v>23</v>
      </c>
      <c r="E18" s="7" t="s">
        <v>176</v>
      </c>
      <c r="F18" s="7" t="s">
        <v>177</v>
      </c>
      <c r="G18" s="7"/>
      <c r="H18" s="8" t="s">
        <v>98</v>
      </c>
      <c r="I18" s="7" t="s">
        <v>178</v>
      </c>
    </row>
    <row r="19" customFormat="false" ht="35.05" hidden="false" customHeight="false" outlineLevel="0" collapsed="false">
      <c r="A19" s="7" t="s">
        <v>179</v>
      </c>
      <c r="B19" s="7" t="s">
        <v>46</v>
      </c>
      <c r="C19" s="7" t="s">
        <v>180</v>
      </c>
      <c r="D19" s="7" t="s">
        <v>23</v>
      </c>
      <c r="E19" s="7" t="s">
        <v>181</v>
      </c>
      <c r="F19" s="7" t="s">
        <v>182</v>
      </c>
      <c r="G19" s="7"/>
      <c r="H19" s="7" t="s">
        <v>109</v>
      </c>
      <c r="I19" s="7" t="s">
        <v>183</v>
      </c>
    </row>
    <row r="20" customFormat="false" ht="35.05" hidden="false" customHeight="false" outlineLevel="0" collapsed="false">
      <c r="A20" s="7" t="s">
        <v>184</v>
      </c>
      <c r="B20" s="7" t="s">
        <v>46</v>
      </c>
      <c r="C20" s="7" t="s">
        <v>185</v>
      </c>
      <c r="D20" s="7" t="s">
        <v>23</v>
      </c>
      <c r="E20" s="7" t="s">
        <v>186</v>
      </c>
      <c r="F20" s="7" t="s">
        <v>187</v>
      </c>
      <c r="G20" s="7"/>
      <c r="H20" s="7"/>
      <c r="I20" s="7" t="s">
        <v>188</v>
      </c>
    </row>
    <row r="21" customFormat="false" ht="35.05" hidden="false" customHeight="false" outlineLevel="0" collapsed="false">
      <c r="A21" s="7" t="s">
        <v>189</v>
      </c>
      <c r="B21" s="7" t="s">
        <v>46</v>
      </c>
      <c r="C21" s="7" t="s">
        <v>190</v>
      </c>
      <c r="D21" s="7" t="s">
        <v>23</v>
      </c>
      <c r="E21" s="7" t="s">
        <v>191</v>
      </c>
      <c r="F21" s="7" t="s">
        <v>192</v>
      </c>
      <c r="G21" s="7"/>
      <c r="H21" s="7"/>
      <c r="I21" s="7"/>
    </row>
    <row r="22" customFormat="false" ht="35.05" hidden="false" customHeight="false" outlineLevel="0" collapsed="false">
      <c r="A22" s="7" t="s">
        <v>193</v>
      </c>
      <c r="B22" s="7" t="s">
        <v>46</v>
      </c>
      <c r="C22" s="7" t="s">
        <v>194</v>
      </c>
      <c r="D22" s="7" t="s">
        <v>31</v>
      </c>
      <c r="E22" s="7" t="s">
        <v>195</v>
      </c>
      <c r="F22" s="7" t="s">
        <v>196</v>
      </c>
      <c r="G22" s="7"/>
      <c r="H22" s="8" t="s">
        <v>98</v>
      </c>
      <c r="I22" s="7" t="s">
        <v>197</v>
      </c>
    </row>
    <row r="23" customFormat="false" ht="23.85" hidden="false" customHeight="false" outlineLevel="0" collapsed="false">
      <c r="A23" s="7" t="s">
        <v>198</v>
      </c>
      <c r="B23" s="7" t="s">
        <v>46</v>
      </c>
      <c r="C23" s="7" t="s">
        <v>199</v>
      </c>
      <c r="D23" s="7" t="s">
        <v>29</v>
      </c>
      <c r="E23" s="7" t="s">
        <v>200</v>
      </c>
      <c r="F23" s="7" t="s">
        <v>201</v>
      </c>
      <c r="G23" s="7"/>
      <c r="H23" s="7" t="s">
        <v>109</v>
      </c>
      <c r="I23" s="7" t="s">
        <v>202</v>
      </c>
    </row>
    <row r="24" customFormat="false" ht="35.05" hidden="false" customHeight="false" outlineLevel="0" collapsed="false">
      <c r="A24" s="7" t="s">
        <v>203</v>
      </c>
      <c r="B24" s="7" t="s">
        <v>46</v>
      </c>
      <c r="C24" s="7" t="s">
        <v>204</v>
      </c>
      <c r="D24" s="7" t="s">
        <v>29</v>
      </c>
      <c r="E24" s="7" t="s">
        <v>205</v>
      </c>
      <c r="F24" s="7" t="s">
        <v>206</v>
      </c>
      <c r="G24" s="7"/>
      <c r="H24" s="8" t="s">
        <v>98</v>
      </c>
      <c r="I24" s="7" t="s">
        <v>207</v>
      </c>
    </row>
    <row r="25" customFormat="false" ht="35.05" hidden="false" customHeight="false" outlineLevel="0" collapsed="false">
      <c r="A25" s="7" t="s">
        <v>208</v>
      </c>
      <c r="B25" s="7" t="s">
        <v>46</v>
      </c>
      <c r="C25" s="7" t="s">
        <v>209</v>
      </c>
      <c r="D25" s="7" t="s">
        <v>33</v>
      </c>
      <c r="E25" s="7" t="s">
        <v>210</v>
      </c>
      <c r="F25" s="7" t="s">
        <v>211</v>
      </c>
      <c r="G25" s="7"/>
      <c r="H25" s="7"/>
      <c r="I25" s="7" t="s">
        <v>212</v>
      </c>
    </row>
    <row r="26" customFormat="false" ht="35.05" hidden="false" customHeight="false" outlineLevel="0" collapsed="false">
      <c r="A26" s="7" t="s">
        <v>213</v>
      </c>
      <c r="B26" s="7" t="s">
        <v>46</v>
      </c>
      <c r="C26" s="7" t="s">
        <v>214</v>
      </c>
      <c r="D26" s="7" t="s">
        <v>33</v>
      </c>
      <c r="E26" s="7" t="s">
        <v>215</v>
      </c>
      <c r="F26" s="7" t="s">
        <v>216</v>
      </c>
      <c r="G26" s="7"/>
      <c r="H26" s="7"/>
      <c r="I26" s="7"/>
    </row>
    <row r="27" customFormat="false" ht="35.05" hidden="false" customHeight="false" outlineLevel="0" collapsed="false">
      <c r="A27" s="7" t="s">
        <v>217</v>
      </c>
      <c r="B27" s="7" t="s">
        <v>46</v>
      </c>
      <c r="C27" s="7" t="s">
        <v>218</v>
      </c>
      <c r="D27" s="7" t="s">
        <v>35</v>
      </c>
      <c r="E27" s="7" t="s">
        <v>219</v>
      </c>
      <c r="F27" s="7" t="s">
        <v>220</v>
      </c>
      <c r="G27" s="7"/>
      <c r="H27" s="7"/>
      <c r="I27" s="7" t="s">
        <v>221</v>
      </c>
    </row>
    <row r="28" customFormat="false" ht="35.05" hidden="false" customHeight="false" outlineLevel="0" collapsed="false">
      <c r="A28" s="7" t="s">
        <v>222</v>
      </c>
      <c r="B28" s="7" t="s">
        <v>46</v>
      </c>
      <c r="C28" s="7" t="s">
        <v>223</v>
      </c>
      <c r="D28" s="7" t="s">
        <v>37</v>
      </c>
      <c r="E28" s="7" t="s">
        <v>224</v>
      </c>
      <c r="F28" s="7" t="s">
        <v>225</v>
      </c>
      <c r="G28" s="7"/>
      <c r="H28" s="7"/>
      <c r="I28" s="7"/>
    </row>
    <row r="29" customFormat="false" ht="35.05" hidden="false" customHeight="false" outlineLevel="0" collapsed="false">
      <c r="A29" s="7" t="s">
        <v>226</v>
      </c>
      <c r="B29" s="7" t="s">
        <v>52</v>
      </c>
      <c r="C29" s="7" t="s">
        <v>227</v>
      </c>
      <c r="D29" s="7" t="s">
        <v>23</v>
      </c>
      <c r="E29" s="7" t="s">
        <v>228</v>
      </c>
      <c r="F29" s="7" t="s">
        <v>229</v>
      </c>
      <c r="G29" s="7"/>
      <c r="H29" s="8" t="s">
        <v>98</v>
      </c>
      <c r="I29" s="7" t="s">
        <v>230</v>
      </c>
    </row>
    <row r="30" customFormat="false" ht="35.05" hidden="false" customHeight="false" outlineLevel="0" collapsed="false">
      <c r="A30" s="7" t="s">
        <v>231</v>
      </c>
      <c r="B30" s="7" t="s">
        <v>52</v>
      </c>
      <c r="C30" s="7" t="s">
        <v>232</v>
      </c>
      <c r="D30" s="7" t="s">
        <v>23</v>
      </c>
      <c r="E30" s="7" t="s">
        <v>233</v>
      </c>
      <c r="F30" s="7" t="s">
        <v>234</v>
      </c>
      <c r="G30" s="7"/>
      <c r="H30" s="7" t="s">
        <v>109</v>
      </c>
      <c r="I30" s="7" t="s">
        <v>235</v>
      </c>
    </row>
    <row r="31" customFormat="false" ht="23.85" hidden="false" customHeight="false" outlineLevel="0" collapsed="false">
      <c r="A31" s="7" t="s">
        <v>236</v>
      </c>
      <c r="B31" s="7" t="s">
        <v>52</v>
      </c>
      <c r="C31" s="7" t="s">
        <v>237</v>
      </c>
      <c r="D31" s="7" t="s">
        <v>23</v>
      </c>
      <c r="E31" s="7" t="s">
        <v>238</v>
      </c>
      <c r="F31" s="7" t="s">
        <v>239</v>
      </c>
      <c r="G31" s="7"/>
      <c r="H31" s="7" t="s">
        <v>109</v>
      </c>
      <c r="I31" s="7" t="s">
        <v>240</v>
      </c>
    </row>
    <row r="32" customFormat="false" ht="23.85" hidden="false" customHeight="false" outlineLevel="0" collapsed="false">
      <c r="A32" s="7" t="s">
        <v>241</v>
      </c>
      <c r="B32" s="7" t="s">
        <v>52</v>
      </c>
      <c r="C32" s="7" t="s">
        <v>242</v>
      </c>
      <c r="D32" s="7" t="s">
        <v>23</v>
      </c>
      <c r="E32" s="7" t="s">
        <v>243</v>
      </c>
      <c r="F32" s="7" t="s">
        <v>244</v>
      </c>
      <c r="G32" s="7"/>
      <c r="H32" s="7"/>
      <c r="I32" s="7"/>
    </row>
  </sheetData>
  <autoFilter ref="A1:I32"/>
  <dataValidations count="3">
    <dataValidation allowBlank="true" errorStyle="stop" operator="between" showDropDown="false" showErrorMessage="false" showInputMessage="false" sqref="D2:D1000" type="list">
      <formula1>"Exploration &amp; Rewards,Progression &amp; Upgrades,Combat,Economy &amp; Currency,Traversal,Side Content &amp; Minigames,Social &amp; Relationships,Meta &amp; Replayability"</formula1>
      <formula2>0</formula2>
    </dataValidation>
    <dataValidation allowBlank="true" errorStyle="stop" operator="between" showDropDown="false" showErrorMessage="false" showInputMessage="false" sqref="G2:G1000" type="list">
      <formula1>"1,2,3,4,5"</formula1>
      <formula2>0</formula2>
    </dataValidation>
    <dataValidation allowBlank="true" errorStyle="stop" operator="between" showDropDown="false" showErrorMessage="false" showInputMessage="false" sqref="H2:H1000" type="list">
      <formula1>"Yes,Maybe,No"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6" t="s">
        <v>245</v>
      </c>
      <c r="B1" s="6" t="s">
        <v>246</v>
      </c>
      <c r="C1" s="6" t="s">
        <v>247</v>
      </c>
      <c r="D1" s="6" t="s">
        <v>248</v>
      </c>
    </row>
    <row r="2" customFormat="false" ht="23.85" hidden="false" customHeight="false" outlineLevel="0" collapsed="false">
      <c r="A2" s="7" t="n">
        <v>1</v>
      </c>
      <c r="B2" s="7" t="s">
        <v>249</v>
      </c>
      <c r="C2" s="7" t="s">
        <v>250</v>
      </c>
      <c r="D2" s="7" t="s">
        <v>251</v>
      </c>
    </row>
    <row r="3" customFormat="false" ht="23.85" hidden="false" customHeight="false" outlineLevel="0" collapsed="false">
      <c r="A3" s="7" t="n">
        <v>2</v>
      </c>
      <c r="B3" s="7" t="s">
        <v>252</v>
      </c>
      <c r="C3" s="7" t="s">
        <v>253</v>
      </c>
      <c r="D3" s="7" t="s">
        <v>254</v>
      </c>
    </row>
    <row r="4" customFormat="false" ht="23.85" hidden="false" customHeight="false" outlineLevel="0" collapsed="false">
      <c r="A4" s="7" t="n">
        <v>3</v>
      </c>
      <c r="B4" s="7" t="s">
        <v>255</v>
      </c>
      <c r="C4" s="7" t="s">
        <v>256</v>
      </c>
      <c r="D4" s="7" t="s">
        <v>257</v>
      </c>
    </row>
    <row r="5" customFormat="false" ht="23.85" hidden="false" customHeight="false" outlineLevel="0" collapsed="false">
      <c r="A5" s="7" t="n">
        <v>4</v>
      </c>
      <c r="B5" s="7" t="s">
        <v>258</v>
      </c>
      <c r="C5" s="7" t="s">
        <v>259</v>
      </c>
      <c r="D5" s="7" t="s">
        <v>260</v>
      </c>
    </row>
    <row r="6" customFormat="false" ht="23.85" hidden="false" customHeight="false" outlineLevel="0" collapsed="false">
      <c r="A6" s="7" t="n">
        <v>5</v>
      </c>
      <c r="B6" s="7" t="s">
        <v>261</v>
      </c>
      <c r="C6" s="7" t="s">
        <v>262</v>
      </c>
      <c r="D6" s="7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264</v>
      </c>
    </row>
    <row r="3" customFormat="false" ht="15" hidden="false" customHeight="false" outlineLevel="0" collapsed="false">
      <c r="A3" s="3" t="s">
        <v>265</v>
      </c>
      <c r="B3" s="9" t="n">
        <f aca="false">COUNTA(Games!A2:A200)</f>
        <v>9</v>
      </c>
    </row>
    <row r="4" customFormat="false" ht="15" hidden="false" customHeight="false" outlineLevel="0" collapsed="false">
      <c r="A4" s="3" t="s">
        <v>266</v>
      </c>
      <c r="B4" s="9" t="n">
        <f aca="false">COUNTIF(Games!E2:E200,"Researched")</f>
        <v>1</v>
      </c>
    </row>
    <row r="5" customFormat="false" ht="15" hidden="false" customHeight="false" outlineLevel="0" collapsed="false">
      <c r="A5" s="3" t="s">
        <v>267</v>
      </c>
      <c r="B5" s="9" t="n">
        <f aca="false">COUNTIF(Games!E2:E200,"To Research")</f>
        <v>7</v>
      </c>
    </row>
    <row r="6" customFormat="false" ht="15" hidden="false" customHeight="false" outlineLevel="0" collapsed="false">
      <c r="A6" s="3" t="s">
        <v>268</v>
      </c>
      <c r="B6" s="9" t="n">
        <f aca="false">COUNTA(Mechanics!A2:A1000)</f>
        <v>31</v>
      </c>
    </row>
    <row r="7" customFormat="false" ht="15" hidden="false" customHeight="false" outlineLevel="0" collapsed="false">
      <c r="A7" s="3" t="s">
        <v>269</v>
      </c>
      <c r="B7" s="9" t="n">
        <f aca="false">COUNTIF(Mechanics!H2:H1000,"Yes")</f>
        <v>6</v>
      </c>
    </row>
    <row r="8" customFormat="false" ht="15" hidden="false" customHeight="false" outlineLevel="0" collapsed="false">
      <c r="A8" s="3" t="s">
        <v>270</v>
      </c>
      <c r="B8" s="9" t="n">
        <f aca="false">COUNTIF(Mechanics!H2:H1000,"Maybe")</f>
        <v>8</v>
      </c>
    </row>
    <row r="9" customFormat="false" ht="15" hidden="false" customHeight="false" outlineLevel="0" collapsed="false">
      <c r="A9" s="3" t="s">
        <v>271</v>
      </c>
      <c r="B9" s="9" t="n">
        <f aca="false">COUNTIF(Mechanics!D2:D1000,"Exploration &amp; Rewards")</f>
        <v>13</v>
      </c>
    </row>
    <row r="10" customFormat="false" ht="15" hidden="false" customHeight="false" outlineLevel="0" collapsed="false">
      <c r="A10" s="3" t="s">
        <v>272</v>
      </c>
      <c r="B10" s="9" t="n">
        <f aca="false">COUNTIF(Mechanics!D2:D1000,"Progression &amp; Upgrades")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2026-07-08T08:52:32Z</dcterms:created>
  <dc:creator>openpyxl</dc:creator>
  <dc:description/>
  <dc:language>en-US</dc:language>
  <cp:lastModifiedBy/>
  <dcterms:modified xsi:type="dcterms:W3CDTF">2026-07-08T08:52:32Z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